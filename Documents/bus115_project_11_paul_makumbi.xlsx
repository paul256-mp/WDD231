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ebmailbyui-my.sharepoint.com/personal/kbp209_byui_edu/Documents/API/BUS115/Projects/Excel/"/>
    </mc:Choice>
  </mc:AlternateContent>
  <xr:revisionPtr revIDLastSave="1" documentId="8_{A55141CF-FA2F-444F-B041-8F9B7A860C52}" xr6:coauthVersionLast="47" xr6:coauthVersionMax="47" xr10:uidLastSave="{280178CE-8C46-0F4D-87EC-2A508D0905FC}"/>
  <bookViews>
    <workbookView xWindow="-108" yWindow="-108" windowWidth="23256" windowHeight="12456" activeTab="1" xr2:uid="{DD48EB59-D422-440A-B3D8-B7024E933AC0}"/>
  </bookViews>
  <sheets>
    <sheet name="Dashboard" sheetId="3" r:id="rId1"/>
    <sheet name="Grades" sheetId="2" r:id="rId2"/>
  </sheets>
  <definedNames>
    <definedName name="BUS_115_CID" hidden="1">"SPRING_2026_B1"</definedName>
    <definedName name="FA22_BUS_115_CID" hidden="1">"FALL_2022"</definedName>
    <definedName name="FA23_BUS_115_CID" hidden="1">"FALL_2023"</definedName>
    <definedName name="FA24_BUS_115_CID" hidden="1">"FALL_2024_B2"</definedName>
    <definedName name="FA25_BUS_115_CID" hidden="1">"FALL_2025_B2"</definedName>
    <definedName name="first_name">IFERROR(VLOOKUP(Dashboard!$B$3,Grades!$A$7:$D$26,2,0),"")</definedName>
    <definedName name="last_name">IFERROR(VLOOKUP(Dashboard!$B$3,Grades!$A$7:$D$26,3,0),"")</definedName>
    <definedName name="_xlnm.Print_Area" localSheetId="0">Dashboard!$B$2:$L$50</definedName>
    <definedName name="SP22_BUS_115_CID" hidden="1">"SPRING_2022"</definedName>
    <definedName name="SP23_BUS_115_CID" hidden="1">"SPRING_2023"</definedName>
    <definedName name="SP24_BUS_115_CID" hidden="1">"SPRING_2024_B2"</definedName>
    <definedName name="SP25_BUS_115_CID" hidden="1">"SPRING_2025_B2"</definedName>
    <definedName name="SP26_BUS_115_CID" hidden="1">"SPRING_2026_B1"</definedName>
    <definedName name="WI23_BUS_115_CID" hidden="1">"WINTER_2023"</definedName>
    <definedName name="WI24_BUS_115_CID" hidden="1">"WINTER_2024"</definedName>
    <definedName name="WI25_BUS_115_CID" hidden="1">"WINTER_2025_B2"</definedName>
    <definedName name="WI26_BUS_115_CID" hidden="1">"WINTER_2026_B2"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G3" i="2"/>
  <c r="H3" i="2"/>
  <c r="H4" i="2"/>
  <c r="I3" i="2"/>
  <c r="I4" i="2"/>
  <c r="J3" i="2"/>
  <c r="J4" i="2"/>
  <c r="K3" i="2"/>
  <c r="L3" i="2"/>
  <c r="M3" i="2"/>
  <c r="M4" i="2"/>
  <c r="N3" i="2"/>
  <c r="O3" i="2"/>
  <c r="P3" i="2"/>
  <c r="Q3" i="2"/>
  <c r="Q4" i="2"/>
  <c r="R3" i="2"/>
  <c r="R4" i="2"/>
  <c r="S3" i="2"/>
  <c r="T3" i="2"/>
  <c r="U3" i="2"/>
  <c r="U4" i="2"/>
  <c r="V3" i="2"/>
  <c r="W3" i="2"/>
  <c r="X3" i="2"/>
  <c r="Y3" i="2"/>
  <c r="Y4" i="2"/>
  <c r="Z3" i="2"/>
  <c r="Z4" i="2"/>
  <c r="AA3" i="2"/>
  <c r="AB3" i="2"/>
  <c r="AC3" i="2"/>
  <c r="AC4" i="2"/>
  <c r="F4" i="2"/>
  <c r="G4" i="2"/>
  <c r="K4" i="2"/>
  <c r="L4" i="2"/>
  <c r="N4" i="2"/>
  <c r="O4" i="2"/>
  <c r="P4" i="2"/>
  <c r="S4" i="2"/>
  <c r="T4" i="2"/>
  <c r="V4" i="2"/>
  <c r="W4" i="2"/>
  <c r="X4" i="2"/>
  <c r="AA4" i="2"/>
  <c r="AB4" i="2"/>
  <c r="E4" i="2"/>
  <c r="E3" i="2"/>
  <c r="K4" i="3" a="1"/>
  <c r="K4" i="3"/>
  <c r="K3" i="3" a="1"/>
  <c r="K3" i="3"/>
  <c r="J50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<sst xmlns="http://schemas.openxmlformats.org/spreadsheetml/2006/main" count="144" uniqueCount="84">
  <si>
    <t>Student name</t>
  </si>
  <si>
    <t>Student ID</t>
  </si>
  <si>
    <t>Test 01</t>
  </si>
  <si>
    <t>Test 02</t>
  </si>
  <si>
    <t>Test 03</t>
  </si>
  <si>
    <t>Test 04</t>
  </si>
  <si>
    <t>Project 01</t>
  </si>
  <si>
    <t>Project 02</t>
  </si>
  <si>
    <t>Project 03</t>
  </si>
  <si>
    <t>Project 04</t>
  </si>
  <si>
    <t>Project 05</t>
  </si>
  <si>
    <t>Project 06</t>
  </si>
  <si>
    <t>Project 07</t>
  </si>
  <si>
    <t>Project 08</t>
  </si>
  <si>
    <t>Project 09</t>
  </si>
  <si>
    <t>Project 10</t>
  </si>
  <si>
    <t>Project 11</t>
  </si>
  <si>
    <t>Project 12</t>
  </si>
  <si>
    <t>Project 13</t>
  </si>
  <si>
    <t>Project 14</t>
  </si>
  <si>
    <t>Project 15</t>
  </si>
  <si>
    <t>Project 16</t>
  </si>
  <si>
    <t>Project 17</t>
  </si>
  <si>
    <t>Project 18</t>
  </si>
  <si>
    <t>Project 19</t>
  </si>
  <si>
    <t>Project 20</t>
  </si>
  <si>
    <t>Jameson Parada</t>
  </si>
  <si>
    <t>fbd3e05c5b62</t>
  </si>
  <si>
    <t>Keller Millard</t>
  </si>
  <si>
    <t>0217dc9845bf</t>
  </si>
  <si>
    <t>Amarion Brink</t>
  </si>
  <si>
    <t>b7d482632f06</t>
  </si>
  <si>
    <t>Zoha Mcshane</t>
  </si>
  <si>
    <t>f05c28ad2636</t>
  </si>
  <si>
    <t>Nestor Wren</t>
  </si>
  <si>
    <t>1ff3408e234a</t>
  </si>
  <si>
    <t>Dorothy Givens</t>
  </si>
  <si>
    <t>6e75e997f462</t>
  </si>
  <si>
    <t>Karmelo Headrick</t>
  </si>
  <si>
    <t>5a94dc471ba4</t>
  </si>
  <si>
    <t>Mazzy Ashburn</t>
  </si>
  <si>
    <t>e18c6530b19d</t>
  </si>
  <si>
    <t>Thompson Barham</t>
  </si>
  <si>
    <t>2afb35501045</t>
  </si>
  <si>
    <t>Quetzaly Mendosa</t>
  </si>
  <si>
    <t>dc94e1cfede3</t>
  </si>
  <si>
    <t>Raziel Larry</t>
  </si>
  <si>
    <t>460859dde8d0</t>
  </si>
  <si>
    <t>Corrina Blais</t>
  </si>
  <si>
    <t>565ade045140</t>
  </si>
  <si>
    <t>Britain Sok</t>
  </si>
  <si>
    <t>a3d01b564ea8</t>
  </si>
  <si>
    <t>Kolsen Rupe</t>
  </si>
  <si>
    <t>3071a78f8316</t>
  </si>
  <si>
    <t>Chauncey Tankersley</t>
  </si>
  <si>
    <t>be6453ad2828</t>
  </si>
  <si>
    <t>Pessy Lanza</t>
  </si>
  <si>
    <t>0d812061b94b</t>
  </si>
  <si>
    <t>Kaliah Delvalle</t>
  </si>
  <si>
    <t>272e790615dd</t>
  </si>
  <si>
    <t>Linnea Vanhorn</t>
  </si>
  <si>
    <t>32c8c7cb49b4</t>
  </si>
  <si>
    <t>Meliah Barriga</t>
  </si>
  <si>
    <t>32c46ef6b7a7</t>
  </si>
  <si>
    <t>Wilson Rosenberg</t>
  </si>
  <si>
    <t>fb21f6bad82f</t>
  </si>
  <si>
    <t>First name</t>
  </si>
  <si>
    <t>Last name</t>
  </si>
  <si>
    <t>Final Exam</t>
  </si>
  <si>
    <t>First half</t>
  </si>
  <si>
    <t>Second half</t>
  </si>
  <si>
    <t>Points possible ►</t>
  </si>
  <si>
    <t>Final Score</t>
  </si>
  <si>
    <t>Class average % ►</t>
  </si>
  <si>
    <t>Class average points ►</t>
  </si>
  <si>
    <r>
      <t xml:space="preserve">Part of class </t>
    </r>
    <r>
      <rPr>
        <b/>
        <sz val="10"/>
        <color theme="1"/>
        <rFont val="Arial"/>
        <family val="2"/>
      </rPr>
      <t>►</t>
    </r>
  </si>
  <si>
    <t>Full name</t>
  </si>
  <si>
    <t>Students</t>
  </si>
  <si>
    <t>Tests</t>
  </si>
  <si>
    <t>Student %</t>
  </si>
  <si>
    <t>First half projects</t>
  </si>
  <si>
    <t>Second half projects</t>
  </si>
  <si>
    <t>Information on this page is confidential.</t>
  </si>
  <si>
    <t>Class avg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</si>
</sst>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\,\ d\ mmm\ yyyy"/>
    <numFmt numFmtId="165" formatCode="0.0%"/>
    <numFmt numFmtId="166" formatCode="#,##0.0"/>
  </numFmts>
  <fonts count="12" x14ac:knownFonts="1">
    <font>
      <sz val="11"/>
      <color theme="1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Consolas"/>
      <family val="3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8"/>
      <name val="Arial"/>
      <family val="2"/>
      <scheme val="minor"/>
    </font>
    <font>
      <sz val="10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32"/>
      <color theme="1"/>
      <name val="Arial"/>
      <family val="2"/>
      <scheme val="minor"/>
    </font>
    <font>
      <sz val="22"/>
      <name val="Arial"/>
      <family val="2"/>
      <scheme val="minor"/>
    </font>
    <font>
      <b/>
      <sz val="14"/>
      <color theme="3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/>
      <top style="medium">
        <color theme="4" tint="0.39994506668294322"/>
      </top>
      <bottom/>
      <diagonal/>
    </border>
  </borders>
  <cellStyleXfs count="4">
    <xf numFmtId="0" fontId="0" fillId="0" borderId="0"/>
    <xf numFmtId="0" fontId="11" fillId="0" borderId="5" applyNumberFormat="0" applyFill="0" applyAlignment="0" applyProtection="0"/>
    <xf numFmtId="0" fontId="6" fillId="5" borderId="1" applyNumberFormat="0" applyAlignment="0" applyProtection="0"/>
    <xf numFmtId="0" fontId="1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4" borderId="0" xfId="0" applyFill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  <xf numFmtId="0" fontId="0" fillId="0" borderId="3" xfId="0" applyBorder="1" applyAlignment="1">
      <alignment vertical="center"/>
    </xf>
    <xf numFmtId="0" fontId="0" fillId="2" borderId="3" xfId="0" applyFill="1" applyBorder="1" applyAlignment="1">
      <alignment horizontal="right" vertical="center"/>
    </xf>
    <xf numFmtId="0" fontId="0" fillId="3" borderId="3" xfId="0" applyFill="1" applyBorder="1" applyAlignment="1">
      <alignment horizontal="right" vertical="center"/>
    </xf>
    <xf numFmtId="0" fontId="0" fillId="4" borderId="3" xfId="0" applyFill="1" applyBorder="1" applyAlignment="1">
      <alignment horizontal="right" vertical="center"/>
    </xf>
    <xf numFmtId="0" fontId="0" fillId="0" borderId="4" xfId="0" applyBorder="1" applyAlignment="1">
      <alignment vertical="center"/>
    </xf>
    <xf numFmtId="0" fontId="0" fillId="2" borderId="4" xfId="0" applyFill="1" applyBorder="1" applyAlignment="1">
      <alignment horizontal="right" vertical="center"/>
    </xf>
    <xf numFmtId="0" fontId="0" fillId="3" borderId="4" xfId="0" applyFill="1" applyBorder="1" applyAlignment="1">
      <alignment horizontal="right" vertical="center"/>
    </xf>
    <xf numFmtId="0" fontId="0" fillId="4" borderId="4" xfId="0" applyFill="1" applyBorder="1" applyAlignment="1">
      <alignment horizontal="right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0" xfId="0" applyFont="1" applyAlignment="1">
      <alignment horizontal="right" vertical="center"/>
    </xf>
    <xf numFmtId="0" fontId="1" fillId="0" borderId="0" xfId="3" applyAlignment="1">
      <alignment vertical="center"/>
    </xf>
    <xf numFmtId="0" fontId="1" fillId="0" borderId="0" xfId="3" applyAlignment="1"/>
    <xf numFmtId="0" fontId="11" fillId="0" borderId="5" xfId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right" vertical="center"/>
    </xf>
    <xf numFmtId="165" fontId="0" fillId="2" borderId="0" xfId="0" applyNumberFormat="1" applyFill="1" applyAlignment="1">
      <alignment horizontal="right" vertical="center"/>
    </xf>
    <xf numFmtId="166" fontId="0" fillId="2" borderId="0" xfId="0" applyNumberFormat="1" applyFill="1" applyAlignment="1">
      <alignment horizontal="right" vertical="center"/>
    </xf>
    <xf numFmtId="165" fontId="0" fillId="3" borderId="0" xfId="0" applyNumberFormat="1" applyFill="1" applyAlignment="1">
      <alignment horizontal="right" vertical="center"/>
    </xf>
    <xf numFmtId="165" fontId="0" fillId="4" borderId="0" xfId="0" applyNumberFormat="1" applyFill="1" applyAlignment="1">
      <alignment horizontal="right" vertical="center"/>
    </xf>
    <xf numFmtId="166" fontId="0" fillId="3" borderId="0" xfId="0" applyNumberFormat="1" applyFill="1" applyAlignment="1">
      <alignment horizontal="right" vertical="center"/>
    </xf>
    <xf numFmtId="166" fontId="0" fillId="4" borderId="0" xfId="0" applyNumberFormat="1" applyFill="1" applyAlignment="1">
      <alignment horizontal="right" vertical="center"/>
    </xf>
    <xf numFmtId="164" fontId="1" fillId="0" borderId="0" xfId="3" applyNumberFormat="1" applyAlignment="1">
      <alignment horizontal="right" vertical="center"/>
    </xf>
    <xf numFmtId="0" fontId="10" fillId="5" borderId="0" xfId="2" applyFont="1" applyBorder="1" applyAlignment="1">
      <alignment horizontal="left" vertical="center" indent="1"/>
    </xf>
    <xf numFmtId="10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4">
    <cellStyle name="Explanatory Text" xfId="3" builtinId="53"/>
    <cellStyle name="Heading 3" xfId="1" builtinId="18" customBuiltin="1"/>
    <cellStyle name="Input" xfId="2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5</xdr:col>
      <xdr:colOff>885264</xdr:colOff>
      <xdr:row>19</xdr:row>
      <xdr:rowOff>246528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9D0582C-9AA9-4E39-AFFB-1C7A7C0B69B6}"/>
            </a:ext>
          </a:extLst>
        </xdr:cNvPr>
        <xdr:cNvSpPr/>
      </xdr:nvSpPr>
      <xdr:spPr>
        <a:xfrm>
          <a:off x="347382" y="2711824"/>
          <a:ext cx="4426323" cy="221876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>
              <a:solidFill>
                <a:schemeClr val="bg1">
                  <a:lumMod val="50000"/>
                </a:schemeClr>
              </a:solidFill>
            </a:rPr>
            <a:t>[chart placeholder]</a:t>
          </a:r>
        </a:p>
      </xdr:txBody>
    </xdr:sp>
    <xdr:clientData/>
  </xdr:twoCellAnchor>
  <xdr:twoCellAnchor>
    <xdr:from>
      <xdr:col>7</xdr:col>
      <xdr:colOff>-1</xdr:colOff>
      <xdr:row>11</xdr:row>
      <xdr:rowOff>0</xdr:rowOff>
    </xdr:from>
    <xdr:to>
      <xdr:col>11</xdr:col>
      <xdr:colOff>885264</xdr:colOff>
      <xdr:row>19</xdr:row>
      <xdr:rowOff>246528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DB93434-592B-48FE-A625-8436DA8FC07E}"/>
            </a:ext>
          </a:extLst>
        </xdr:cNvPr>
        <xdr:cNvSpPr/>
      </xdr:nvSpPr>
      <xdr:spPr>
        <a:xfrm>
          <a:off x="5658970" y="2711824"/>
          <a:ext cx="4426323" cy="2218763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>
              <a:solidFill>
                <a:schemeClr val="bg1">
                  <a:lumMod val="50000"/>
                </a:schemeClr>
              </a:solidFill>
            </a:rPr>
            <a:t>[chart placeholder]</a:t>
          </a:r>
        </a:p>
      </xdr:txBody>
    </xdr:sp>
    <xdr:clientData/>
  </xdr:twoCellAnchor>
  <xdr:twoCellAnchor>
    <xdr:from>
      <xdr:col>0</xdr:col>
      <xdr:colOff>132522</xdr:colOff>
      <xdr:row>29</xdr:row>
      <xdr:rowOff>49696</xdr:rowOff>
    </xdr:from>
    <xdr:to>
      <xdr:col>11</xdr:col>
      <xdr:colOff>684695</xdr:colOff>
      <xdr:row>38</xdr:row>
      <xdr:rowOff>49698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98BC287-621E-4B94-99ED-A21EDCFA6F0F}"/>
            </a:ext>
            <a:ext uri="{147F2762-F138-4A5C-976F-8EAC2B608ADB}">
              <a16:predDERef xmlns:a16="http://schemas.microsoft.com/office/drawing/2014/main" pred="{6DB93434-592B-48FE-A625-8436DA8FC07E}"/>
            </a:ext>
          </a:extLst>
        </xdr:cNvPr>
        <xdr:cNvSpPr/>
      </xdr:nvSpPr>
      <xdr:spPr>
        <a:xfrm>
          <a:off x="132522" y="7255566"/>
          <a:ext cx="9961216" cy="2236305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>
              <a:solidFill>
                <a:schemeClr val="bg1">
                  <a:lumMod val="50000"/>
                </a:schemeClr>
              </a:solidFill>
            </a:rPr>
            <a:t>[chart placeholder]</a:t>
          </a:r>
        </a:p>
      </xdr:txBody>
    </xdr:sp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0</xdr:colOff>
      <xdr:row>48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7D9FE38-D88D-4EF5-B15D-3EFF61BD70BC}"/>
            </a:ext>
          </a:extLst>
        </xdr:cNvPr>
        <xdr:cNvSpPr/>
      </xdr:nvSpPr>
      <xdr:spPr>
        <a:xfrm>
          <a:off x="347382" y="9614647"/>
          <a:ext cx="9737912" cy="2218765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3200">
              <a:solidFill>
                <a:schemeClr val="bg1">
                  <a:lumMod val="50000"/>
                </a:schemeClr>
              </a:solidFill>
            </a:rPr>
            <a:t>[chart placeholder]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BYUI Colors">
      <a:dk1>
        <a:sysClr val="windowText" lastClr="000000"/>
      </a:dk1>
      <a:lt1>
        <a:sysClr val="window" lastClr="FFFFFF"/>
      </a:lt1>
      <a:dk2>
        <a:srgbClr val="006EB6"/>
      </a:dk2>
      <a:lt2>
        <a:srgbClr val="8DD3EE"/>
      </a:lt2>
      <a:accent1>
        <a:srgbClr val="80C140"/>
      </a:accent1>
      <a:accent2>
        <a:srgbClr val="A5216F"/>
      </a:accent2>
      <a:accent3>
        <a:srgbClr val="E42226"/>
      </a:accent3>
      <a:accent4>
        <a:srgbClr val="F7941D"/>
      </a:accent4>
      <a:accent5>
        <a:srgbClr val="FFE066"/>
      </a:accent5>
      <a:accent6>
        <a:srgbClr val="ADADAD"/>
      </a:accent6>
      <a:hlink>
        <a:srgbClr val="006EB6"/>
      </a:hlink>
      <a:folHlink>
        <a:srgbClr val="006EB6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D2A6F-0C8D-4A98-8240-EC46F5436B0F}">
  <sheetPr codeName="Sheet2">
    <pageSetUpPr fitToPage="1"/>
  </sheetPr>
  <dimension ref="A1:M64"/>
  <sheetViews>
    <sheetView showGridLines="0" topLeftCell="B12" zoomScale="85" zoomScaleNormal="85" workbookViewId="0">
      <selection activeCell="B3" sqref="B3:E5"/>
    </sheetView>
  </sheetViews>
  <sheetFormatPr defaultColWidth="0" defaultRowHeight="19.899999999999999" customHeight="1" zeroHeight="1" x14ac:dyDescent="0.15"/>
  <cols>
    <col min="1" max="1" width="4.53515625" style="1" customWidth="1"/>
    <col min="2" max="12" width="11.64453125" style="1" customWidth="1"/>
    <col min="13" max="13" width="4.53515625" style="1" customWidth="1"/>
    <col min="14" max="16384" width="10.6640625" style="1" hidden="1"/>
  </cols>
  <sheetData>
    <row r="1" spans="2:12" ht="19.899999999999999" customHeight="1" x14ac:dyDescent="0.15"/>
    <row r="2" spans="2:12" ht="19.899999999999999" customHeight="1" x14ac:dyDescent="0.15">
      <c r="B2" s="21" t="s">
        <v>0</v>
      </c>
      <c r="G2" s="21" t="s">
        <v>72</v>
      </c>
    </row>
    <row r="3" spans="2:12" ht="19.899999999999999" customHeight="1" x14ac:dyDescent="0.15">
      <c r="B3" s="34"/>
      <c r="C3" s="34"/>
      <c r="D3" s="34"/>
      <c r="E3" s="34"/>
      <c r="G3" s="35"/>
      <c r="H3" s="36"/>
      <c r="J3" s="21" t="s">
        <v>66</v>
      </c>
      <c r="K3" s="37" t="str" cm="1">
        <f t="array" ref="K3">first_name</f>
        <v/>
      </c>
      <c r="L3" s="37"/>
    </row>
    <row r="4" spans="2:12" ht="19.899999999999999" customHeight="1" x14ac:dyDescent="0.15">
      <c r="B4" s="34"/>
      <c r="C4" s="34"/>
      <c r="D4" s="34"/>
      <c r="E4" s="34"/>
      <c r="G4" s="36"/>
      <c r="H4" s="36"/>
      <c r="J4" s="21" t="s">
        <v>67</v>
      </c>
      <c r="K4" s="37" t="str" cm="1">
        <f t="array" ref="K4">last_name</f>
        <v/>
      </c>
      <c r="L4" s="37"/>
    </row>
    <row r="5" spans="2:12" ht="19.899999999999999" customHeight="1" x14ac:dyDescent="0.15">
      <c r="B5" s="34"/>
      <c r="C5" s="34"/>
      <c r="D5" s="34"/>
      <c r="E5" s="34"/>
      <c r="G5" s="36"/>
      <c r="H5" s="36"/>
      <c r="J5" s="21" t="s">
        <v>1</v>
      </c>
      <c r="K5" s="37"/>
      <c r="L5" s="37"/>
    </row>
    <row r="6" spans="2:12" ht="19.899999999999999" customHeight="1" x14ac:dyDescent="0.15"/>
    <row r="7" spans="2:12" ht="19.899999999999999" customHeight="1" thickBot="1" x14ac:dyDescent="0.2"/>
    <row r="8" spans="2:12" ht="19.899999999999999" customHeight="1" x14ac:dyDescent="0.15">
      <c r="B8" s="23" t="s">
        <v>68</v>
      </c>
      <c r="C8" s="23"/>
      <c r="D8" s="23"/>
      <c r="E8" s="23"/>
      <c r="F8" s="23"/>
      <c r="G8" s="23"/>
      <c r="H8" s="23" t="s">
        <v>78</v>
      </c>
      <c r="I8" s="23"/>
      <c r="J8" s="23"/>
      <c r="K8" s="23"/>
      <c r="L8" s="23"/>
    </row>
    <row r="9" spans="2:12" ht="19.899999999999999" customHeight="1" x14ac:dyDescent="0.15">
      <c r="B9" s="24"/>
      <c r="C9" s="26" t="s">
        <v>68</v>
      </c>
      <c r="D9" s="24"/>
      <c r="E9" s="24"/>
      <c r="F9" s="24"/>
      <c r="G9" s="24"/>
      <c r="H9" s="24"/>
      <c r="I9" s="26" t="s">
        <v>2</v>
      </c>
      <c r="J9" s="26" t="s">
        <v>3</v>
      </c>
      <c r="K9" s="26" t="s">
        <v>4</v>
      </c>
      <c r="L9" s="26" t="s">
        <v>5</v>
      </c>
    </row>
    <row r="10" spans="2:12" ht="19.899999999999999" customHeight="1" x14ac:dyDescent="0.15">
      <c r="B10" s="24" t="s">
        <v>79</v>
      </c>
      <c r="C10" s="26"/>
      <c r="D10" s="24"/>
      <c r="E10" s="24"/>
      <c r="F10" s="24"/>
      <c r="G10" s="24"/>
      <c r="H10" s="24" t="s">
        <v>79</v>
      </c>
      <c r="I10" s="26"/>
      <c r="J10" s="26"/>
      <c r="K10" s="26"/>
      <c r="L10" s="26"/>
    </row>
    <row r="11" spans="2:12" ht="19.899999999999999" customHeight="1" x14ac:dyDescent="0.15">
      <c r="B11" s="24" t="s">
        <v>83</v>
      </c>
      <c r="C11" s="26"/>
      <c r="D11" s="24"/>
      <c r="E11" s="24"/>
      <c r="F11" s="24"/>
      <c r="G11" s="24"/>
      <c r="H11" s="24" t="s">
        <v>83</v>
      </c>
      <c r="I11" s="26"/>
      <c r="J11" s="26"/>
      <c r="K11" s="26"/>
      <c r="L11" s="26"/>
    </row>
    <row r="12" spans="2:12" ht="19.899999999999999" customHeight="1" x14ac:dyDescent="0.15">
      <c r="B12" s="25"/>
      <c r="H12" s="25"/>
    </row>
    <row r="13" spans="2:12" ht="19.899999999999999" customHeight="1" x14ac:dyDescent="0.15">
      <c r="B13" s="25"/>
      <c r="H13" s="25"/>
    </row>
    <row r="14" spans="2:12" ht="19.899999999999999" customHeight="1" x14ac:dyDescent="0.15">
      <c r="B14" s="25"/>
      <c r="H14" s="25"/>
    </row>
    <row r="15" spans="2:12" ht="19.899999999999999" customHeight="1" x14ac:dyDescent="0.15"/>
    <row r="16" spans="2:12" ht="19.899999999999999" customHeight="1" x14ac:dyDescent="0.15"/>
    <row r="17" spans="2:12" ht="19.899999999999999" customHeight="1" x14ac:dyDescent="0.15"/>
    <row r="18" spans="2:12" ht="19.899999999999999" customHeight="1" x14ac:dyDescent="0.15"/>
    <row r="19" spans="2:12" ht="19.899999999999999" customHeight="1" x14ac:dyDescent="0.15"/>
    <row r="20" spans="2:12" ht="19.899999999999999" customHeight="1" x14ac:dyDescent="0.15"/>
    <row r="21" spans="2:12" ht="19.899999999999999" customHeight="1" thickBot="1" x14ac:dyDescent="0.2"/>
    <row r="22" spans="2:12" ht="19.899999999999999" customHeight="1" x14ac:dyDescent="0.15">
      <c r="B22" s="23" t="s">
        <v>80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</row>
    <row r="23" spans="2:12" ht="19.899999999999999" customHeight="1" x14ac:dyDescent="0.15">
      <c r="B23" s="24"/>
      <c r="C23" s="26" t="s">
        <v>6</v>
      </c>
      <c r="D23" s="26" t="s">
        <v>7</v>
      </c>
      <c r="E23" s="26" t="s">
        <v>8</v>
      </c>
      <c r="F23" s="26" t="s">
        <v>9</v>
      </c>
      <c r="G23" s="26" t="s">
        <v>10</v>
      </c>
      <c r="H23" s="26" t="s">
        <v>11</v>
      </c>
      <c r="I23" s="26" t="s">
        <v>12</v>
      </c>
      <c r="J23" s="26" t="s">
        <v>13</v>
      </c>
      <c r="K23" s="26" t="s">
        <v>14</v>
      </c>
      <c r="L23" s="26" t="s">
        <v>15</v>
      </c>
    </row>
    <row r="24" spans="2:12" ht="19.899999999999999" customHeight="1" x14ac:dyDescent="0.15">
      <c r="B24" s="24" t="s">
        <v>79</v>
      </c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 spans="2:12" ht="19.899999999999999" customHeight="1" x14ac:dyDescent="0.15">
      <c r="B25" s="24" t="s">
        <v>83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</row>
    <row r="26" spans="2:12" ht="19.899999999999999" customHeight="1" x14ac:dyDescent="0.15">
      <c r="B26" s="25"/>
    </row>
    <row r="27" spans="2:12" ht="19.899999999999999" customHeight="1" x14ac:dyDescent="0.15">
      <c r="B27" s="25"/>
    </row>
    <row r="28" spans="2:12" ht="19.899999999999999" customHeight="1" x14ac:dyDescent="0.15">
      <c r="B28" s="25"/>
    </row>
    <row r="29" spans="2:12" ht="19.899999999999999" customHeight="1" x14ac:dyDescent="0.15"/>
    <row r="30" spans="2:12" ht="19.899999999999999" customHeight="1" x14ac:dyDescent="0.15"/>
    <row r="31" spans="2:12" ht="19.899999999999999" customHeight="1" x14ac:dyDescent="0.15"/>
    <row r="32" spans="2:12" ht="19.899999999999999" customHeight="1" x14ac:dyDescent="0.15"/>
    <row r="33" spans="2:12" ht="19.899999999999999" customHeight="1" x14ac:dyDescent="0.15"/>
    <row r="34" spans="2:12" ht="19.899999999999999" customHeight="1" x14ac:dyDescent="0.15"/>
    <row r="35" spans="2:12" ht="19.899999999999999" customHeight="1" thickBot="1" x14ac:dyDescent="0.2"/>
    <row r="36" spans="2:12" ht="19.899999999999999" customHeight="1" x14ac:dyDescent="0.15">
      <c r="B36" s="23" t="s">
        <v>81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</row>
    <row r="37" spans="2:12" ht="19.899999999999999" customHeight="1" x14ac:dyDescent="0.15">
      <c r="B37" s="24"/>
      <c r="C37" s="26" t="s">
        <v>16</v>
      </c>
      <c r="D37" s="26" t="s">
        <v>17</v>
      </c>
      <c r="E37" s="26" t="s">
        <v>18</v>
      </c>
      <c r="F37" s="26" t="s">
        <v>19</v>
      </c>
      <c r="G37" s="26" t="s">
        <v>20</v>
      </c>
      <c r="H37" s="26" t="s">
        <v>21</v>
      </c>
      <c r="I37" s="26" t="s">
        <v>22</v>
      </c>
      <c r="J37" s="26" t="s">
        <v>23</v>
      </c>
      <c r="K37" s="26" t="s">
        <v>24</v>
      </c>
      <c r="L37" s="26" t="s">
        <v>25</v>
      </c>
    </row>
    <row r="38" spans="2:12" ht="19.899999999999999" customHeight="1" x14ac:dyDescent="0.15">
      <c r="B38" s="24" t="s">
        <v>79</v>
      </c>
      <c r="C38" s="26"/>
      <c r="D38" s="26"/>
      <c r="E38" s="26"/>
      <c r="F38" s="26"/>
      <c r="G38" s="26"/>
      <c r="H38" s="26"/>
      <c r="I38" s="26"/>
      <c r="J38" s="26"/>
      <c r="K38" s="26"/>
      <c r="L38" s="26"/>
    </row>
    <row r="39" spans="2:12" ht="19.899999999999999" customHeight="1" x14ac:dyDescent="0.15">
      <c r="B39" s="24" t="s">
        <v>83</v>
      </c>
      <c r="C39" s="26"/>
      <c r="D39" s="26"/>
      <c r="E39" s="26"/>
      <c r="F39" s="26"/>
      <c r="G39" s="26"/>
      <c r="H39" s="26"/>
      <c r="I39" s="26"/>
      <c r="J39" s="26"/>
      <c r="K39" s="26"/>
      <c r="L39" s="26"/>
    </row>
    <row r="40" spans="2:12" ht="19.899999999999999" customHeight="1" x14ac:dyDescent="0.15">
      <c r="B40" s="25"/>
    </row>
    <row r="41" spans="2:12" ht="19.899999999999999" customHeight="1" x14ac:dyDescent="0.15">
      <c r="B41" s="25"/>
    </row>
    <row r="42" spans="2:12" ht="19.899999999999999" customHeight="1" x14ac:dyDescent="0.15">
      <c r="B42" s="25"/>
    </row>
    <row r="43" spans="2:12" ht="19.899999999999999" customHeight="1" x14ac:dyDescent="0.15"/>
    <row r="44" spans="2:12" ht="19.899999999999999" customHeight="1" x14ac:dyDescent="0.15"/>
    <row r="45" spans="2:12" ht="19.899999999999999" customHeight="1" x14ac:dyDescent="0.15"/>
    <row r="46" spans="2:12" ht="19.899999999999999" customHeight="1" x14ac:dyDescent="0.15"/>
    <row r="47" spans="2:12" ht="19.899999999999999" customHeight="1" x14ac:dyDescent="0.15"/>
    <row r="48" spans="2:12" ht="19.899999999999999" customHeight="1" x14ac:dyDescent="0.15"/>
    <row r="49" spans="2:12" ht="19.899999999999999" customHeight="1" x14ac:dyDescent="0.15"/>
    <row r="50" spans="2:12" ht="19.899999999999999" customHeight="1" x14ac:dyDescent="0.15">
      <c r="B50" s="21" t="s">
        <v>82</v>
      </c>
      <c r="J50" s="33">
        <f ca="1">TODAY()</f>
        <v>46183</v>
      </c>
      <c r="K50" s="33"/>
      <c r="L50" s="33"/>
    </row>
    <row r="64" spans="2:12" ht="19.899999999999999" customHeight="1" x14ac:dyDescent="0.15"/>
  </sheetData>
  <mergeCells count="6">
    <mergeCell ref="J50:L50"/>
    <mergeCell ref="B3:E5"/>
    <mergeCell ref="G3:H5"/>
    <mergeCell ref="K5:L5"/>
    <mergeCell ref="K4:L4"/>
    <mergeCell ref="K3:L3"/>
  </mergeCells>
  <printOptions horizontalCentered="1"/>
  <pageMargins left="0.5" right="0.5" top="0.5" bottom="0.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490DA-F458-49B0-B562-EC036EEBA752}">
  <sheetPr codeName="Sheet1"/>
  <dimension ref="A1:AD26"/>
  <sheetViews>
    <sheetView showGridLines="0" tabSelected="1" topLeftCell="A6" zoomScaleNormal="100" workbookViewId="0">
      <selection activeCell="B8" sqref="B8"/>
    </sheetView>
  </sheetViews>
  <sheetFormatPr defaultColWidth="10.6640625" defaultRowHeight="19.899999999999999" customHeight="1" x14ac:dyDescent="0.15"/>
  <cols>
    <col min="1" max="1" width="20.59375" style="1" customWidth="1"/>
    <col min="2" max="3" width="14.5859375" style="1" customWidth="1"/>
    <col min="4" max="4" width="16.546875" style="1" customWidth="1"/>
    <col min="5" max="30" width="12.625" style="2" customWidth="1"/>
    <col min="31" max="16384" width="10.6640625" style="1"/>
  </cols>
  <sheetData>
    <row r="1" spans="1:30" ht="19.899999999999999" customHeight="1" x14ac:dyDescent="0.15">
      <c r="D1" s="20" t="s">
        <v>75</v>
      </c>
      <c r="E1" s="3" t="s">
        <v>69</v>
      </c>
      <c r="F1" s="3" t="s">
        <v>69</v>
      </c>
      <c r="G1" s="3" t="s">
        <v>70</v>
      </c>
      <c r="H1" s="3" t="s">
        <v>70</v>
      </c>
      <c r="I1" s="4" t="s">
        <v>69</v>
      </c>
      <c r="J1" s="4" t="s">
        <v>69</v>
      </c>
      <c r="K1" s="4" t="s">
        <v>69</v>
      </c>
      <c r="L1" s="4" t="s">
        <v>69</v>
      </c>
      <c r="M1" s="4" t="s">
        <v>69</v>
      </c>
      <c r="N1" s="4" t="s">
        <v>69</v>
      </c>
      <c r="O1" s="4" t="s">
        <v>69</v>
      </c>
      <c r="P1" s="4" t="s">
        <v>69</v>
      </c>
      <c r="Q1" s="4" t="s">
        <v>69</v>
      </c>
      <c r="R1" s="4" t="s">
        <v>69</v>
      </c>
      <c r="S1" s="4" t="s">
        <v>70</v>
      </c>
      <c r="T1" s="4" t="s">
        <v>70</v>
      </c>
      <c r="U1" s="4" t="s">
        <v>70</v>
      </c>
      <c r="V1" s="4" t="s">
        <v>70</v>
      </c>
      <c r="W1" s="4" t="s">
        <v>70</v>
      </c>
      <c r="X1" s="4" t="s">
        <v>70</v>
      </c>
      <c r="Y1" s="4" t="s">
        <v>70</v>
      </c>
      <c r="Z1" s="4" t="s">
        <v>70</v>
      </c>
      <c r="AA1" s="4" t="s">
        <v>70</v>
      </c>
      <c r="AB1" s="4" t="s">
        <v>70</v>
      </c>
      <c r="AC1" s="5" t="s">
        <v>68</v>
      </c>
      <c r="AD1" s="5" t="s">
        <v>72</v>
      </c>
    </row>
    <row r="2" spans="1:30" ht="19.899999999999999" customHeight="1" x14ac:dyDescent="0.15">
      <c r="D2" s="20" t="s">
        <v>71</v>
      </c>
      <c r="E2" s="3">
        <v>100</v>
      </c>
      <c r="F2" s="3">
        <v>100</v>
      </c>
      <c r="G2" s="3">
        <v>100</v>
      </c>
      <c r="H2" s="3">
        <v>100</v>
      </c>
      <c r="I2" s="4">
        <v>20</v>
      </c>
      <c r="J2" s="4">
        <v>20</v>
      </c>
      <c r="K2" s="4">
        <v>20</v>
      </c>
      <c r="L2" s="4">
        <v>20</v>
      </c>
      <c r="M2" s="4">
        <v>20</v>
      </c>
      <c r="N2" s="4">
        <v>20</v>
      </c>
      <c r="O2" s="4">
        <v>20</v>
      </c>
      <c r="P2" s="4">
        <v>20</v>
      </c>
      <c r="Q2" s="4">
        <v>20</v>
      </c>
      <c r="R2" s="4">
        <v>20</v>
      </c>
      <c r="S2" s="4">
        <v>20</v>
      </c>
      <c r="T2" s="4">
        <v>20</v>
      </c>
      <c r="U2" s="4">
        <v>20</v>
      </c>
      <c r="V2" s="4">
        <v>20</v>
      </c>
      <c r="W2" s="4">
        <v>20</v>
      </c>
      <c r="X2" s="4">
        <v>20</v>
      </c>
      <c r="Y2" s="4">
        <v>20</v>
      </c>
      <c r="Z2" s="4">
        <v>20</v>
      </c>
      <c r="AA2" s="4">
        <v>20</v>
      </c>
      <c r="AB2" s="4">
        <v>20</v>
      </c>
      <c r="AC2" s="5">
        <v>200</v>
      </c>
      <c r="AD2" s="5"/>
    </row>
    <row r="3" spans="1:30" ht="19.899999999999999" customHeight="1" x14ac:dyDescent="0.15">
      <c r="D3" s="20" t="s">
        <v>74</v>
      </c>
      <c r="E3" s="28">
        <f>AVERAGE(E7:E26)</f>
        <v>68.787499999999994</v>
      </c>
      <c r="F3" s="28">
        <f t="shared" ref="F3:AC3" si="0">AVERAGE(F7:F26)</f>
        <v>65.400000000000006</v>
      </c>
      <c r="G3" s="28">
        <f t="shared" si="0"/>
        <v>64.5</v>
      </c>
      <c r="H3" s="28">
        <f t="shared" si="0"/>
        <v>63.274999999999999</v>
      </c>
      <c r="I3" s="31">
        <f t="shared" si="0"/>
        <v>14.339999999999998</v>
      </c>
      <c r="J3" s="31">
        <f t="shared" si="0"/>
        <v>13.074999999999999</v>
      </c>
      <c r="K3" s="31">
        <f t="shared" si="0"/>
        <v>11.4</v>
      </c>
      <c r="L3" s="31">
        <f t="shared" si="0"/>
        <v>14.530000000000005</v>
      </c>
      <c r="M3" s="31">
        <f t="shared" si="0"/>
        <v>10.35</v>
      </c>
      <c r="N3" s="31">
        <f t="shared" si="0"/>
        <v>14.1625</v>
      </c>
      <c r="O3" s="31">
        <f t="shared" si="0"/>
        <v>14.1</v>
      </c>
      <c r="P3" s="31">
        <f t="shared" si="0"/>
        <v>9</v>
      </c>
      <c r="Q3" s="31">
        <f t="shared" si="0"/>
        <v>12.925000000000001</v>
      </c>
      <c r="R3" s="31">
        <f t="shared" si="0"/>
        <v>12.375</v>
      </c>
      <c r="S3" s="31">
        <f t="shared" si="0"/>
        <v>11.2</v>
      </c>
      <c r="T3" s="31">
        <f t="shared" si="0"/>
        <v>15.257500000000002</v>
      </c>
      <c r="U3" s="31">
        <f t="shared" si="0"/>
        <v>9.1624999999999996</v>
      </c>
      <c r="V3" s="31">
        <f t="shared" si="0"/>
        <v>17.34</v>
      </c>
      <c r="W3" s="31">
        <f t="shared" si="0"/>
        <v>15.75</v>
      </c>
      <c r="X3" s="31">
        <f t="shared" si="0"/>
        <v>13.553999999999998</v>
      </c>
      <c r="Y3" s="31">
        <f t="shared" si="0"/>
        <v>14.7875</v>
      </c>
      <c r="Z3" s="31">
        <f t="shared" si="0"/>
        <v>13.375</v>
      </c>
      <c r="AA3" s="31">
        <f t="shared" si="0"/>
        <v>10.3</v>
      </c>
      <c r="AB3" s="31">
        <f t="shared" si="0"/>
        <v>15</v>
      </c>
      <c r="AC3" s="32">
        <f t="shared" si="0"/>
        <v>114.75</v>
      </c>
      <c r="AD3" s="32"/>
    </row>
    <row r="4" spans="1:30" ht="19.899999999999999" customHeight="1" x14ac:dyDescent="0.15">
      <c r="D4" s="20" t="s">
        <v>73</v>
      </c>
      <c r="E4" s="27">
        <f>E3/E2</f>
        <v>0.6878749999999999</v>
      </c>
      <c r="F4" s="27">
        <f t="shared" ref="F4:AC4" si="1">F3/F2</f>
        <v>0.65400000000000003</v>
      </c>
      <c r="G4" s="27">
        <f t="shared" si="1"/>
        <v>0.64500000000000002</v>
      </c>
      <c r="H4" s="27">
        <f t="shared" si="1"/>
        <v>0.63275000000000003</v>
      </c>
      <c r="I4" s="29">
        <f t="shared" si="1"/>
        <v>0.71699999999999986</v>
      </c>
      <c r="J4" s="29">
        <f t="shared" si="1"/>
        <v>0.65374999999999994</v>
      </c>
      <c r="K4" s="29">
        <f t="shared" si="1"/>
        <v>0.57000000000000006</v>
      </c>
      <c r="L4" s="29">
        <f t="shared" si="1"/>
        <v>0.72650000000000026</v>
      </c>
      <c r="M4" s="29">
        <f t="shared" si="1"/>
        <v>0.51749999999999996</v>
      </c>
      <c r="N4" s="29">
        <f t="shared" si="1"/>
        <v>0.708125</v>
      </c>
      <c r="O4" s="29">
        <f t="shared" si="1"/>
        <v>0.70499999999999996</v>
      </c>
      <c r="P4" s="29">
        <f t="shared" si="1"/>
        <v>0.45</v>
      </c>
      <c r="Q4" s="29">
        <f t="shared" si="1"/>
        <v>0.64624999999999999</v>
      </c>
      <c r="R4" s="29">
        <f t="shared" si="1"/>
        <v>0.61875000000000002</v>
      </c>
      <c r="S4" s="29">
        <f t="shared" si="1"/>
        <v>0.55999999999999994</v>
      </c>
      <c r="T4" s="29">
        <f t="shared" si="1"/>
        <v>0.76287500000000008</v>
      </c>
      <c r="U4" s="29">
        <f t="shared" si="1"/>
        <v>0.458125</v>
      </c>
      <c r="V4" s="29">
        <f t="shared" si="1"/>
        <v>0.86699999999999999</v>
      </c>
      <c r="W4" s="29">
        <f t="shared" si="1"/>
        <v>0.78749999999999998</v>
      </c>
      <c r="X4" s="29">
        <f t="shared" si="1"/>
        <v>0.67769999999999997</v>
      </c>
      <c r="Y4" s="29">
        <f t="shared" si="1"/>
        <v>0.739375</v>
      </c>
      <c r="Z4" s="29">
        <f t="shared" si="1"/>
        <v>0.66874999999999996</v>
      </c>
      <c r="AA4" s="29">
        <f t="shared" si="1"/>
        <v>0.51500000000000001</v>
      </c>
      <c r="AB4" s="29">
        <f t="shared" si="1"/>
        <v>0.75</v>
      </c>
      <c r="AC4" s="30">
        <f t="shared" si="1"/>
        <v>0.57374999999999998</v>
      </c>
      <c r="AD4" s="30"/>
    </row>
    <row r="5" spans="1:30" ht="20.100000000000001" customHeight="1" x14ac:dyDescent="0.15">
      <c r="A5" s="22" t="s">
        <v>77</v>
      </c>
      <c r="D5" s="2"/>
      <c r="E5" s="3"/>
      <c r="F5" s="3"/>
      <c r="G5" s="3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5"/>
      <c r="AD5" s="5"/>
    </row>
    <row r="6" spans="1:30" ht="19.899999999999999" customHeight="1" x14ac:dyDescent="0.15">
      <c r="A6" s="6" t="s">
        <v>76</v>
      </c>
      <c r="B6" s="6" t="s">
        <v>66</v>
      </c>
      <c r="C6" s="6" t="s">
        <v>67</v>
      </c>
      <c r="D6" s="6" t="s">
        <v>1</v>
      </c>
      <c r="E6" s="7" t="s">
        <v>2</v>
      </c>
      <c r="F6" s="7" t="s">
        <v>3</v>
      </c>
      <c r="G6" s="7" t="s">
        <v>4</v>
      </c>
      <c r="H6" s="7" t="s">
        <v>5</v>
      </c>
      <c r="I6" s="8" t="s">
        <v>6</v>
      </c>
      <c r="J6" s="8" t="s">
        <v>7</v>
      </c>
      <c r="K6" s="8" t="s">
        <v>8</v>
      </c>
      <c r="L6" s="8" t="s">
        <v>9</v>
      </c>
      <c r="M6" s="8" t="s">
        <v>10</v>
      </c>
      <c r="N6" s="8" t="s">
        <v>11</v>
      </c>
      <c r="O6" s="8" t="s">
        <v>12</v>
      </c>
      <c r="P6" s="8" t="s">
        <v>13</v>
      </c>
      <c r="Q6" s="8" t="s">
        <v>14</v>
      </c>
      <c r="R6" s="8" t="s">
        <v>15</v>
      </c>
      <c r="S6" s="8" t="s">
        <v>16</v>
      </c>
      <c r="T6" s="8" t="s">
        <v>17</v>
      </c>
      <c r="U6" s="8" t="s">
        <v>18</v>
      </c>
      <c r="V6" s="8" t="s">
        <v>19</v>
      </c>
      <c r="W6" s="8" t="s">
        <v>20</v>
      </c>
      <c r="X6" s="8" t="s">
        <v>21</v>
      </c>
      <c r="Y6" s="8" t="s">
        <v>22</v>
      </c>
      <c r="Z6" s="8" t="s">
        <v>23</v>
      </c>
      <c r="AA6" s="8" t="s">
        <v>24</v>
      </c>
      <c r="AB6" s="8" t="s">
        <v>25</v>
      </c>
      <c r="AC6" s="9" t="s">
        <v>68</v>
      </c>
      <c r="AD6" s="9" t="s">
        <v>72</v>
      </c>
    </row>
    <row r="7" spans="1:30" ht="19.899999999999999" customHeight="1" x14ac:dyDescent="0.15">
      <c r="A7" s="10" t="s">
        <v>26</v>
      </c>
      <c r="B7" s="10"/>
      <c r="C7" s="10"/>
      <c r="D7" s="18" t="s">
        <v>27</v>
      </c>
      <c r="E7" s="11">
        <v>56.25</v>
      </c>
      <c r="F7" s="11">
        <v>0</v>
      </c>
      <c r="G7" s="11">
        <v>90</v>
      </c>
      <c r="H7" s="11">
        <v>66</v>
      </c>
      <c r="I7" s="12">
        <v>11</v>
      </c>
      <c r="J7" s="12">
        <v>18</v>
      </c>
      <c r="K7" s="12">
        <v>15</v>
      </c>
      <c r="L7" s="12">
        <v>18</v>
      </c>
      <c r="M7" s="12">
        <v>15.5</v>
      </c>
      <c r="N7" s="12">
        <v>17.75</v>
      </c>
      <c r="O7" s="12">
        <v>19.5</v>
      </c>
      <c r="P7" s="12">
        <v>15.25</v>
      </c>
      <c r="Q7" s="12">
        <v>14</v>
      </c>
      <c r="R7" s="12">
        <v>14</v>
      </c>
      <c r="S7" s="12">
        <v>12</v>
      </c>
      <c r="T7" s="12">
        <v>17.3</v>
      </c>
      <c r="U7" s="12">
        <v>10</v>
      </c>
      <c r="V7" s="12">
        <v>18.3</v>
      </c>
      <c r="W7" s="12">
        <v>17.5</v>
      </c>
      <c r="X7" s="12">
        <v>0</v>
      </c>
      <c r="Y7" s="12">
        <v>16.25</v>
      </c>
      <c r="Z7" s="12">
        <v>12</v>
      </c>
      <c r="AA7" s="12">
        <v>17</v>
      </c>
      <c r="AB7" s="12">
        <v>16.5</v>
      </c>
      <c r="AC7" s="13">
        <v>141</v>
      </c>
      <c r="AD7" s="13"/>
    </row>
    <row r="8" spans="1:30" ht="19.899999999999999" customHeight="1" x14ac:dyDescent="0.15">
      <c r="A8" s="10" t="s">
        <v>28</v>
      </c>
      <c r="B8" s="10"/>
      <c r="C8" s="10"/>
      <c r="D8" s="18" t="s">
        <v>29</v>
      </c>
      <c r="E8" s="11">
        <v>64.5</v>
      </c>
      <c r="F8" s="11">
        <v>65.5</v>
      </c>
      <c r="G8" s="11">
        <v>94</v>
      </c>
      <c r="H8" s="11">
        <v>76.5</v>
      </c>
      <c r="I8" s="12">
        <v>17.600000000000001</v>
      </c>
      <c r="J8" s="12">
        <v>17</v>
      </c>
      <c r="K8" s="12">
        <v>13.5</v>
      </c>
      <c r="L8" s="12">
        <v>17.829999999999998</v>
      </c>
      <c r="M8" s="12">
        <v>14.5</v>
      </c>
      <c r="N8" s="12">
        <v>19.25</v>
      </c>
      <c r="O8" s="12">
        <v>17.5</v>
      </c>
      <c r="P8" s="12">
        <v>14.5</v>
      </c>
      <c r="Q8" s="12">
        <v>19.5</v>
      </c>
      <c r="R8" s="12">
        <v>18.5</v>
      </c>
      <c r="S8" s="12">
        <v>16</v>
      </c>
      <c r="T8" s="12">
        <v>18</v>
      </c>
      <c r="U8" s="12">
        <v>0</v>
      </c>
      <c r="V8" s="12">
        <v>19</v>
      </c>
      <c r="W8" s="12">
        <v>19</v>
      </c>
      <c r="X8" s="12">
        <v>4.5</v>
      </c>
      <c r="Y8" s="12">
        <v>12.5</v>
      </c>
      <c r="Z8" s="12">
        <v>13.5</v>
      </c>
      <c r="AA8" s="12">
        <v>18</v>
      </c>
      <c r="AB8" s="12">
        <v>20</v>
      </c>
      <c r="AC8" s="13">
        <v>144</v>
      </c>
      <c r="AD8" s="13"/>
    </row>
    <row r="9" spans="1:30" ht="19.899999999999999" customHeight="1" x14ac:dyDescent="0.15">
      <c r="A9" s="10" t="s">
        <v>30</v>
      </c>
      <c r="B9" s="10"/>
      <c r="C9" s="10"/>
      <c r="D9" s="18" t="s">
        <v>31</v>
      </c>
      <c r="E9" s="11">
        <v>44</v>
      </c>
      <c r="F9" s="11">
        <v>96.5</v>
      </c>
      <c r="G9" s="11">
        <v>96</v>
      </c>
      <c r="H9" s="11">
        <v>95.5</v>
      </c>
      <c r="I9" s="12">
        <v>19.600000000000001</v>
      </c>
      <c r="J9" s="12">
        <v>17</v>
      </c>
      <c r="K9" s="12">
        <v>18</v>
      </c>
      <c r="L9" s="12">
        <v>20</v>
      </c>
      <c r="M9" s="12">
        <v>17.5</v>
      </c>
      <c r="N9" s="12">
        <v>20</v>
      </c>
      <c r="O9" s="12">
        <v>19.5</v>
      </c>
      <c r="P9" s="12">
        <v>19.5</v>
      </c>
      <c r="Q9" s="12">
        <v>16.5</v>
      </c>
      <c r="R9" s="12">
        <v>18</v>
      </c>
      <c r="S9" s="12">
        <v>16.5</v>
      </c>
      <c r="T9" s="12">
        <v>20</v>
      </c>
      <c r="U9" s="12">
        <v>20</v>
      </c>
      <c r="V9" s="12">
        <v>20</v>
      </c>
      <c r="W9" s="12">
        <v>19</v>
      </c>
      <c r="X9" s="12">
        <v>0</v>
      </c>
      <c r="Y9" s="12">
        <v>20</v>
      </c>
      <c r="Z9" s="12">
        <v>19.5</v>
      </c>
      <c r="AA9" s="12">
        <v>0</v>
      </c>
      <c r="AB9" s="12">
        <v>20</v>
      </c>
      <c r="AC9" s="13">
        <v>192</v>
      </c>
      <c r="AD9" s="13"/>
    </row>
    <row r="10" spans="1:30" ht="19.899999999999999" customHeight="1" x14ac:dyDescent="0.15">
      <c r="A10" s="10" t="s">
        <v>32</v>
      </c>
      <c r="B10" s="10"/>
      <c r="C10" s="10"/>
      <c r="D10" s="18" t="s">
        <v>33</v>
      </c>
      <c r="E10" s="11">
        <v>90</v>
      </c>
      <c r="F10" s="11">
        <v>74.5</v>
      </c>
      <c r="G10" s="11">
        <v>96</v>
      </c>
      <c r="H10" s="11">
        <v>93.5</v>
      </c>
      <c r="I10" s="12">
        <v>16.100000000000001</v>
      </c>
      <c r="J10" s="12">
        <v>18</v>
      </c>
      <c r="K10" s="12">
        <v>0</v>
      </c>
      <c r="L10" s="12">
        <v>17.5</v>
      </c>
      <c r="M10" s="12">
        <v>12</v>
      </c>
      <c r="N10" s="12">
        <v>18.5</v>
      </c>
      <c r="O10" s="12">
        <v>19.5</v>
      </c>
      <c r="P10" s="12">
        <v>13.5</v>
      </c>
      <c r="Q10" s="12">
        <v>17.5</v>
      </c>
      <c r="R10" s="12">
        <v>18</v>
      </c>
      <c r="S10" s="12">
        <v>19</v>
      </c>
      <c r="T10" s="12">
        <v>18.75</v>
      </c>
      <c r="U10" s="12">
        <v>15.75</v>
      </c>
      <c r="V10" s="12">
        <v>18.3</v>
      </c>
      <c r="W10" s="12">
        <v>19</v>
      </c>
      <c r="X10" s="12">
        <v>18.25</v>
      </c>
      <c r="Y10" s="12">
        <v>17.5</v>
      </c>
      <c r="Z10" s="12">
        <v>14</v>
      </c>
      <c r="AA10" s="12">
        <v>16</v>
      </c>
      <c r="AB10" s="12">
        <v>19</v>
      </c>
      <c r="AC10" s="13">
        <v>193</v>
      </c>
      <c r="AD10" s="13"/>
    </row>
    <row r="11" spans="1:30" ht="19.899999999999999" customHeight="1" x14ac:dyDescent="0.15">
      <c r="A11" s="10" t="s">
        <v>34</v>
      </c>
      <c r="B11" s="10"/>
      <c r="C11" s="10"/>
      <c r="D11" s="18" t="s">
        <v>35</v>
      </c>
      <c r="E11" s="11">
        <v>93</v>
      </c>
      <c r="F11" s="11">
        <v>0</v>
      </c>
      <c r="G11" s="11">
        <v>0</v>
      </c>
      <c r="H11" s="11">
        <v>55</v>
      </c>
      <c r="I11" s="12">
        <v>19.600000000000001</v>
      </c>
      <c r="J11" s="12">
        <v>16</v>
      </c>
      <c r="K11" s="12">
        <v>11</v>
      </c>
      <c r="L11" s="12">
        <v>15</v>
      </c>
      <c r="M11" s="12">
        <v>16.5</v>
      </c>
      <c r="N11" s="12">
        <v>18</v>
      </c>
      <c r="O11" s="12">
        <v>0</v>
      </c>
      <c r="P11" s="12">
        <v>0</v>
      </c>
      <c r="Q11" s="12">
        <v>18.5</v>
      </c>
      <c r="R11" s="12">
        <v>0</v>
      </c>
      <c r="S11" s="12">
        <v>0</v>
      </c>
      <c r="T11" s="12">
        <v>19</v>
      </c>
      <c r="U11" s="12">
        <v>0</v>
      </c>
      <c r="V11" s="12">
        <v>19</v>
      </c>
      <c r="W11" s="12">
        <v>19.5</v>
      </c>
      <c r="X11" s="12">
        <v>18.5</v>
      </c>
      <c r="Y11" s="12">
        <v>17.75</v>
      </c>
      <c r="Z11" s="12">
        <v>15</v>
      </c>
      <c r="AA11" s="12">
        <v>0</v>
      </c>
      <c r="AB11" s="12">
        <v>20</v>
      </c>
      <c r="AC11" s="13">
        <v>0</v>
      </c>
      <c r="AD11" s="13"/>
    </row>
    <row r="12" spans="1:30" ht="19.899999999999999" customHeight="1" x14ac:dyDescent="0.15">
      <c r="A12" s="10" t="s">
        <v>36</v>
      </c>
      <c r="B12" s="10"/>
      <c r="C12" s="10"/>
      <c r="D12" s="18" t="s">
        <v>37</v>
      </c>
      <c r="E12" s="11">
        <v>61.25</v>
      </c>
      <c r="F12" s="11">
        <v>42.5</v>
      </c>
      <c r="G12" s="11">
        <v>0</v>
      </c>
      <c r="H12" s="11">
        <v>0</v>
      </c>
      <c r="I12" s="12">
        <v>16.100000000000001</v>
      </c>
      <c r="J12" s="12">
        <v>15</v>
      </c>
      <c r="K12" s="12">
        <v>11</v>
      </c>
      <c r="L12" s="12">
        <v>17.170000000000002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20</v>
      </c>
      <c r="W12" s="12">
        <v>14.5</v>
      </c>
      <c r="X12" s="12">
        <v>8.5</v>
      </c>
      <c r="Y12" s="12">
        <v>15.5</v>
      </c>
      <c r="Z12" s="12">
        <v>0</v>
      </c>
      <c r="AA12" s="12">
        <v>0</v>
      </c>
      <c r="AB12" s="12">
        <v>19</v>
      </c>
      <c r="AC12" s="13">
        <v>0</v>
      </c>
      <c r="AD12" s="13"/>
    </row>
    <row r="13" spans="1:30" ht="19.899999999999999" customHeight="1" x14ac:dyDescent="0.15">
      <c r="A13" s="10" t="s">
        <v>38</v>
      </c>
      <c r="B13" s="10"/>
      <c r="C13" s="10"/>
      <c r="D13" s="18" t="s">
        <v>39</v>
      </c>
      <c r="E13" s="11">
        <v>0</v>
      </c>
      <c r="F13" s="11">
        <v>0</v>
      </c>
      <c r="G13" s="11">
        <v>0</v>
      </c>
      <c r="H13" s="11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3">
        <v>0</v>
      </c>
      <c r="AD13" s="13"/>
    </row>
    <row r="14" spans="1:30" ht="19.899999999999999" customHeight="1" x14ac:dyDescent="0.15">
      <c r="A14" s="10" t="s">
        <v>40</v>
      </c>
      <c r="B14" s="10"/>
      <c r="C14" s="10"/>
      <c r="D14" s="18" t="s">
        <v>41</v>
      </c>
      <c r="E14" s="11">
        <v>70</v>
      </c>
      <c r="F14" s="11">
        <v>56.5</v>
      </c>
      <c r="G14" s="11">
        <v>85</v>
      </c>
      <c r="H14" s="11">
        <v>16</v>
      </c>
      <c r="I14" s="12">
        <v>2</v>
      </c>
      <c r="J14" s="12">
        <v>7</v>
      </c>
      <c r="K14" s="12">
        <v>12.5</v>
      </c>
      <c r="L14" s="12">
        <v>7</v>
      </c>
      <c r="M14" s="12">
        <v>0</v>
      </c>
      <c r="N14" s="12">
        <v>9.5</v>
      </c>
      <c r="O14" s="12">
        <v>14</v>
      </c>
      <c r="P14" s="12">
        <v>9.5</v>
      </c>
      <c r="Q14" s="12">
        <v>10</v>
      </c>
      <c r="R14" s="12">
        <v>16</v>
      </c>
      <c r="S14" s="12">
        <v>13.5</v>
      </c>
      <c r="T14" s="12">
        <v>12</v>
      </c>
      <c r="U14" s="12">
        <v>10</v>
      </c>
      <c r="V14" s="12">
        <v>15.3</v>
      </c>
      <c r="W14" s="12">
        <v>5</v>
      </c>
      <c r="X14" s="12">
        <v>3.66</v>
      </c>
      <c r="Y14" s="12">
        <v>16.25</v>
      </c>
      <c r="Z14" s="12">
        <v>10.5</v>
      </c>
      <c r="AA14" s="12">
        <v>0</v>
      </c>
      <c r="AB14" s="12">
        <v>12</v>
      </c>
      <c r="AC14" s="13">
        <v>70</v>
      </c>
      <c r="AD14" s="13"/>
    </row>
    <row r="15" spans="1:30" ht="19.899999999999999" customHeight="1" x14ac:dyDescent="0.15">
      <c r="A15" s="10" t="s">
        <v>42</v>
      </c>
      <c r="B15" s="10"/>
      <c r="C15" s="10"/>
      <c r="D15" s="18" t="s">
        <v>43</v>
      </c>
      <c r="E15" s="11">
        <v>88</v>
      </c>
      <c r="F15" s="11">
        <v>90</v>
      </c>
      <c r="G15" s="11">
        <v>91</v>
      </c>
      <c r="H15" s="11">
        <v>88.5</v>
      </c>
      <c r="I15" s="12">
        <v>18.600000000000001</v>
      </c>
      <c r="J15" s="12">
        <v>14</v>
      </c>
      <c r="K15" s="12">
        <v>20</v>
      </c>
      <c r="L15" s="12">
        <v>17.670000000000002</v>
      </c>
      <c r="M15" s="12">
        <v>18.5</v>
      </c>
      <c r="N15" s="12">
        <v>18.75</v>
      </c>
      <c r="O15" s="12">
        <v>17.5</v>
      </c>
      <c r="P15" s="12">
        <v>0</v>
      </c>
      <c r="Q15" s="12">
        <v>17</v>
      </c>
      <c r="R15" s="12">
        <v>18.5</v>
      </c>
      <c r="S15" s="12">
        <v>18</v>
      </c>
      <c r="T15" s="12">
        <v>20</v>
      </c>
      <c r="U15" s="12">
        <v>0</v>
      </c>
      <c r="V15" s="12">
        <v>14</v>
      </c>
      <c r="W15" s="12">
        <v>18.5</v>
      </c>
      <c r="X15" s="12">
        <v>18.170000000000002</v>
      </c>
      <c r="Y15" s="12">
        <v>18.75</v>
      </c>
      <c r="Z15" s="12">
        <v>18</v>
      </c>
      <c r="AA15" s="12">
        <v>19</v>
      </c>
      <c r="AB15" s="12">
        <v>18</v>
      </c>
      <c r="AC15" s="13">
        <v>170</v>
      </c>
      <c r="AD15" s="13"/>
    </row>
    <row r="16" spans="1:30" ht="19.899999999999999" customHeight="1" x14ac:dyDescent="0.15">
      <c r="A16" s="10" t="s">
        <v>44</v>
      </c>
      <c r="B16" s="10"/>
      <c r="C16" s="10"/>
      <c r="D16" s="18" t="s">
        <v>45</v>
      </c>
      <c r="E16" s="11">
        <v>89</v>
      </c>
      <c r="F16" s="11">
        <v>92</v>
      </c>
      <c r="G16" s="11">
        <v>97</v>
      </c>
      <c r="H16" s="11">
        <v>90.5</v>
      </c>
      <c r="I16" s="12">
        <v>16.600000000000001</v>
      </c>
      <c r="J16" s="12">
        <v>12</v>
      </c>
      <c r="K16" s="12">
        <v>15</v>
      </c>
      <c r="L16" s="12">
        <v>18</v>
      </c>
      <c r="M16" s="12">
        <v>16</v>
      </c>
      <c r="N16" s="12">
        <v>19.5</v>
      </c>
      <c r="O16" s="12">
        <v>18.5</v>
      </c>
      <c r="P16" s="12">
        <v>16.5</v>
      </c>
      <c r="Q16" s="12">
        <v>17.5</v>
      </c>
      <c r="R16" s="12">
        <v>18.5</v>
      </c>
      <c r="S16" s="12">
        <v>15.5</v>
      </c>
      <c r="T16" s="12">
        <v>19</v>
      </c>
      <c r="U16" s="12">
        <v>15.5</v>
      </c>
      <c r="V16" s="12">
        <v>18</v>
      </c>
      <c r="W16" s="12">
        <v>19.5</v>
      </c>
      <c r="X16" s="12">
        <v>17.5</v>
      </c>
      <c r="Y16" s="12">
        <v>15.5</v>
      </c>
      <c r="Z16" s="12">
        <v>15</v>
      </c>
      <c r="AA16" s="12">
        <v>17</v>
      </c>
      <c r="AB16" s="12">
        <v>20</v>
      </c>
      <c r="AC16" s="13">
        <v>166</v>
      </c>
      <c r="AD16" s="13"/>
    </row>
    <row r="17" spans="1:30" ht="19.899999999999999" customHeight="1" x14ac:dyDescent="0.15">
      <c r="A17" s="10" t="s">
        <v>46</v>
      </c>
      <c r="B17" s="10"/>
      <c r="C17" s="10"/>
      <c r="D17" s="18" t="s">
        <v>47</v>
      </c>
      <c r="E17" s="11">
        <v>94</v>
      </c>
      <c r="F17" s="11">
        <v>86</v>
      </c>
      <c r="G17" s="11">
        <v>95</v>
      </c>
      <c r="H17" s="11">
        <v>89</v>
      </c>
      <c r="I17" s="12">
        <v>19.600000000000001</v>
      </c>
      <c r="J17" s="12">
        <v>19</v>
      </c>
      <c r="K17" s="12">
        <v>14</v>
      </c>
      <c r="L17" s="12">
        <v>18</v>
      </c>
      <c r="M17" s="12">
        <v>16.25</v>
      </c>
      <c r="N17" s="12">
        <v>19.75</v>
      </c>
      <c r="O17" s="12">
        <v>20</v>
      </c>
      <c r="P17" s="12">
        <v>15.25</v>
      </c>
      <c r="Q17" s="12">
        <v>20</v>
      </c>
      <c r="R17" s="12">
        <v>19</v>
      </c>
      <c r="S17" s="12">
        <v>18.5</v>
      </c>
      <c r="T17" s="12">
        <v>17.75</v>
      </c>
      <c r="U17" s="12">
        <v>17.5</v>
      </c>
      <c r="V17" s="12">
        <v>19.5</v>
      </c>
      <c r="W17" s="12">
        <v>17.5</v>
      </c>
      <c r="X17" s="12">
        <v>19.25</v>
      </c>
      <c r="Y17" s="12">
        <v>18.75</v>
      </c>
      <c r="Z17" s="12">
        <v>19</v>
      </c>
      <c r="AA17" s="12">
        <v>18</v>
      </c>
      <c r="AB17" s="12">
        <v>20</v>
      </c>
      <c r="AC17" s="13">
        <v>173</v>
      </c>
      <c r="AD17" s="13"/>
    </row>
    <row r="18" spans="1:30" ht="19.899999999999999" customHeight="1" x14ac:dyDescent="0.15">
      <c r="A18" s="10" t="s">
        <v>48</v>
      </c>
      <c r="B18" s="10"/>
      <c r="C18" s="10"/>
      <c r="D18" s="18" t="s">
        <v>49</v>
      </c>
      <c r="E18" s="11">
        <v>100</v>
      </c>
      <c r="F18" s="11">
        <v>92</v>
      </c>
      <c r="G18" s="11">
        <v>80</v>
      </c>
      <c r="H18" s="11">
        <v>85.5</v>
      </c>
      <c r="I18" s="12">
        <v>14.6</v>
      </c>
      <c r="J18" s="12">
        <v>17.5</v>
      </c>
      <c r="K18" s="12">
        <v>17</v>
      </c>
      <c r="L18" s="12">
        <v>16.670000000000002</v>
      </c>
      <c r="M18" s="12">
        <v>15</v>
      </c>
      <c r="N18" s="12">
        <v>18.5</v>
      </c>
      <c r="O18" s="12">
        <v>19</v>
      </c>
      <c r="P18" s="12">
        <v>0</v>
      </c>
      <c r="Q18" s="12">
        <v>20</v>
      </c>
      <c r="R18" s="12">
        <v>15.5</v>
      </c>
      <c r="S18" s="12">
        <v>16</v>
      </c>
      <c r="T18" s="12">
        <v>20</v>
      </c>
      <c r="U18" s="12">
        <v>14</v>
      </c>
      <c r="V18" s="12">
        <v>19.8</v>
      </c>
      <c r="W18" s="12">
        <v>19</v>
      </c>
      <c r="X18" s="12">
        <v>19</v>
      </c>
      <c r="Y18" s="12">
        <v>17.75</v>
      </c>
      <c r="Z18" s="12">
        <v>18</v>
      </c>
      <c r="AA18" s="12">
        <v>17</v>
      </c>
      <c r="AB18" s="12">
        <v>16</v>
      </c>
      <c r="AC18" s="13">
        <v>160</v>
      </c>
      <c r="AD18" s="13"/>
    </row>
    <row r="19" spans="1:30" ht="19.899999999999999" customHeight="1" x14ac:dyDescent="0.15">
      <c r="A19" s="10" t="s">
        <v>50</v>
      </c>
      <c r="B19" s="10"/>
      <c r="C19" s="10"/>
      <c r="D19" s="18" t="s">
        <v>51</v>
      </c>
      <c r="E19" s="11">
        <v>68.75</v>
      </c>
      <c r="F19" s="11">
        <v>85</v>
      </c>
      <c r="G19" s="11">
        <v>88</v>
      </c>
      <c r="H19" s="11">
        <v>0</v>
      </c>
      <c r="I19" s="12">
        <v>17.100000000000001</v>
      </c>
      <c r="J19" s="12">
        <v>19</v>
      </c>
      <c r="K19" s="12">
        <v>11</v>
      </c>
      <c r="L19" s="12">
        <v>15.5</v>
      </c>
      <c r="M19" s="12">
        <v>0</v>
      </c>
      <c r="N19" s="12">
        <v>15.75</v>
      </c>
      <c r="O19" s="12">
        <v>19.5</v>
      </c>
      <c r="P19" s="12">
        <v>15</v>
      </c>
      <c r="Q19" s="12">
        <v>13</v>
      </c>
      <c r="R19" s="12">
        <v>18</v>
      </c>
      <c r="S19" s="12">
        <v>14.5</v>
      </c>
      <c r="T19" s="12">
        <v>14.55</v>
      </c>
      <c r="U19" s="12">
        <v>18</v>
      </c>
      <c r="V19" s="12">
        <v>19.3</v>
      </c>
      <c r="W19" s="12">
        <v>19.5</v>
      </c>
      <c r="X19" s="12">
        <v>17.5</v>
      </c>
      <c r="Y19" s="12">
        <v>16</v>
      </c>
      <c r="Z19" s="12">
        <v>14</v>
      </c>
      <c r="AA19" s="12">
        <v>19</v>
      </c>
      <c r="AB19" s="12">
        <v>20</v>
      </c>
      <c r="AC19" s="13">
        <v>80</v>
      </c>
      <c r="AD19" s="13"/>
    </row>
    <row r="20" spans="1:30" ht="19.899999999999999" customHeight="1" x14ac:dyDescent="0.15">
      <c r="A20" s="10" t="s">
        <v>52</v>
      </c>
      <c r="B20" s="10"/>
      <c r="C20" s="10"/>
      <c r="D20" s="18" t="s">
        <v>53</v>
      </c>
      <c r="E20" s="11">
        <v>91.5</v>
      </c>
      <c r="F20" s="11">
        <v>91.5</v>
      </c>
      <c r="G20" s="11">
        <v>97</v>
      </c>
      <c r="H20" s="11">
        <v>93.5</v>
      </c>
      <c r="I20" s="12">
        <v>20</v>
      </c>
      <c r="J20" s="12">
        <v>18</v>
      </c>
      <c r="K20" s="12">
        <v>15.5</v>
      </c>
      <c r="L20" s="12">
        <v>19.670000000000002</v>
      </c>
      <c r="M20" s="12">
        <v>9</v>
      </c>
      <c r="N20" s="12">
        <v>18.25</v>
      </c>
      <c r="O20" s="12">
        <v>20</v>
      </c>
      <c r="P20" s="12">
        <v>19</v>
      </c>
      <c r="Q20" s="12">
        <v>17.5</v>
      </c>
      <c r="R20" s="12">
        <v>18.5</v>
      </c>
      <c r="S20" s="12">
        <v>11</v>
      </c>
      <c r="T20" s="12">
        <v>18</v>
      </c>
      <c r="U20" s="12">
        <v>12</v>
      </c>
      <c r="V20" s="12">
        <v>20</v>
      </c>
      <c r="W20" s="12">
        <v>19</v>
      </c>
      <c r="X20" s="12">
        <v>19</v>
      </c>
      <c r="Y20" s="12">
        <v>18.5</v>
      </c>
      <c r="Z20" s="12">
        <v>15</v>
      </c>
      <c r="AA20" s="12">
        <v>19</v>
      </c>
      <c r="AB20" s="12">
        <v>19</v>
      </c>
      <c r="AC20" s="13">
        <v>171</v>
      </c>
      <c r="AD20" s="13"/>
    </row>
    <row r="21" spans="1:30" ht="19.899999999999999" customHeight="1" x14ac:dyDescent="0.15">
      <c r="A21" s="10" t="s">
        <v>54</v>
      </c>
      <c r="B21" s="10"/>
      <c r="C21" s="10"/>
      <c r="D21" s="18" t="s">
        <v>55</v>
      </c>
      <c r="E21" s="11">
        <v>74</v>
      </c>
      <c r="F21" s="11">
        <v>91</v>
      </c>
      <c r="G21" s="11">
        <v>92</v>
      </c>
      <c r="H21" s="11">
        <v>82</v>
      </c>
      <c r="I21" s="12">
        <v>19.600000000000001</v>
      </c>
      <c r="J21" s="12">
        <v>11</v>
      </c>
      <c r="K21" s="12">
        <v>19</v>
      </c>
      <c r="L21" s="12">
        <v>19</v>
      </c>
      <c r="M21" s="12">
        <v>15</v>
      </c>
      <c r="N21" s="12">
        <v>20</v>
      </c>
      <c r="O21" s="12">
        <v>20</v>
      </c>
      <c r="P21" s="12">
        <v>14.5</v>
      </c>
      <c r="Q21" s="12">
        <v>20</v>
      </c>
      <c r="R21" s="12">
        <v>18.5</v>
      </c>
      <c r="S21" s="12">
        <v>18</v>
      </c>
      <c r="T21" s="12">
        <v>20</v>
      </c>
      <c r="U21" s="12">
        <v>20</v>
      </c>
      <c r="V21" s="12">
        <v>19</v>
      </c>
      <c r="W21" s="12">
        <v>17.5</v>
      </c>
      <c r="X21" s="12">
        <v>19.5</v>
      </c>
      <c r="Y21" s="12">
        <v>18</v>
      </c>
      <c r="Z21" s="12">
        <v>19</v>
      </c>
      <c r="AA21" s="12">
        <v>0</v>
      </c>
      <c r="AB21" s="12">
        <v>0</v>
      </c>
      <c r="AC21" s="13">
        <v>186</v>
      </c>
      <c r="AD21" s="13"/>
    </row>
    <row r="22" spans="1:30" ht="19.899999999999999" customHeight="1" x14ac:dyDescent="0.15">
      <c r="A22" s="10" t="s">
        <v>56</v>
      </c>
      <c r="B22" s="10"/>
      <c r="C22" s="10"/>
      <c r="D22" s="18" t="s">
        <v>57</v>
      </c>
      <c r="E22" s="11">
        <v>90.5</v>
      </c>
      <c r="F22" s="11">
        <v>86</v>
      </c>
      <c r="G22" s="11">
        <v>0</v>
      </c>
      <c r="H22" s="11">
        <v>92</v>
      </c>
      <c r="I22" s="12">
        <v>1.1000000000000001</v>
      </c>
      <c r="J22" s="12">
        <v>8</v>
      </c>
      <c r="K22" s="12">
        <v>0</v>
      </c>
      <c r="L22" s="12">
        <v>0</v>
      </c>
      <c r="M22" s="12">
        <v>0</v>
      </c>
      <c r="N22" s="12">
        <v>9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18.05</v>
      </c>
      <c r="U22" s="12">
        <v>0</v>
      </c>
      <c r="V22" s="12">
        <v>19</v>
      </c>
      <c r="W22" s="12">
        <v>5</v>
      </c>
      <c r="X22" s="12">
        <v>14.5</v>
      </c>
      <c r="Y22" s="12">
        <v>4</v>
      </c>
      <c r="Z22" s="12">
        <v>7</v>
      </c>
      <c r="AA22" s="12">
        <v>10</v>
      </c>
      <c r="AB22" s="12">
        <v>0</v>
      </c>
      <c r="AC22" s="13">
        <v>59</v>
      </c>
      <c r="AD22" s="13"/>
    </row>
    <row r="23" spans="1:30" ht="19.899999999999999" customHeight="1" x14ac:dyDescent="0.15">
      <c r="A23" s="10" t="s">
        <v>58</v>
      </c>
      <c r="B23" s="10"/>
      <c r="C23" s="10"/>
      <c r="D23" s="18" t="s">
        <v>59</v>
      </c>
      <c r="E23" s="11">
        <v>100</v>
      </c>
      <c r="F23" s="11">
        <v>94</v>
      </c>
      <c r="G23" s="11">
        <v>93</v>
      </c>
      <c r="H23" s="11">
        <v>94.5</v>
      </c>
      <c r="I23" s="12">
        <v>19.600000000000001</v>
      </c>
      <c r="J23" s="12">
        <v>16</v>
      </c>
      <c r="K23" s="12">
        <v>10</v>
      </c>
      <c r="L23" s="12">
        <v>19.420000000000002</v>
      </c>
      <c r="M23" s="12">
        <v>16</v>
      </c>
      <c r="N23" s="12">
        <v>20</v>
      </c>
      <c r="O23" s="12">
        <v>20</v>
      </c>
      <c r="P23" s="12">
        <v>16.5</v>
      </c>
      <c r="Q23" s="12">
        <v>18.5</v>
      </c>
      <c r="R23" s="12">
        <v>19</v>
      </c>
      <c r="S23" s="12">
        <v>18.5</v>
      </c>
      <c r="T23" s="12">
        <v>19.5</v>
      </c>
      <c r="U23" s="12">
        <v>15.5</v>
      </c>
      <c r="V23" s="12">
        <v>17.5</v>
      </c>
      <c r="W23" s="12">
        <v>19</v>
      </c>
      <c r="X23" s="12">
        <v>20</v>
      </c>
      <c r="Y23" s="12">
        <v>17.75</v>
      </c>
      <c r="Z23" s="12">
        <v>18.5</v>
      </c>
      <c r="AA23" s="12">
        <v>0</v>
      </c>
      <c r="AB23" s="12">
        <v>19</v>
      </c>
      <c r="AC23" s="13">
        <v>196</v>
      </c>
      <c r="AD23" s="13"/>
    </row>
    <row r="24" spans="1:30" ht="19.899999999999999" customHeight="1" x14ac:dyDescent="0.15">
      <c r="A24" s="10" t="s">
        <v>60</v>
      </c>
      <c r="B24" s="10"/>
      <c r="C24" s="10"/>
      <c r="D24" s="18" t="s">
        <v>61</v>
      </c>
      <c r="E24" s="11">
        <v>11</v>
      </c>
      <c r="F24" s="11">
        <v>0</v>
      </c>
      <c r="G24" s="11">
        <v>0</v>
      </c>
      <c r="H24" s="11">
        <v>0</v>
      </c>
      <c r="I24" s="12">
        <v>18.5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14.25</v>
      </c>
      <c r="U24" s="12">
        <v>0</v>
      </c>
      <c r="V24" s="12">
        <v>16.5</v>
      </c>
      <c r="W24" s="12">
        <v>19</v>
      </c>
      <c r="X24" s="12">
        <v>14.25</v>
      </c>
      <c r="Y24" s="12">
        <v>18</v>
      </c>
      <c r="Z24" s="12">
        <v>13.5</v>
      </c>
      <c r="AA24" s="12">
        <v>0</v>
      </c>
      <c r="AB24" s="12">
        <v>4</v>
      </c>
      <c r="AC24" s="13">
        <v>0</v>
      </c>
      <c r="AD24" s="13"/>
    </row>
    <row r="25" spans="1:30" ht="19.899999999999999" customHeight="1" x14ac:dyDescent="0.15">
      <c r="A25" s="10" t="s">
        <v>62</v>
      </c>
      <c r="B25" s="10"/>
      <c r="C25" s="10"/>
      <c r="D25" s="18" t="s">
        <v>63</v>
      </c>
      <c r="E25" s="11">
        <v>0</v>
      </c>
      <c r="F25" s="11">
        <v>80.5</v>
      </c>
      <c r="G25" s="11">
        <v>0</v>
      </c>
      <c r="H25" s="11">
        <v>56.5</v>
      </c>
      <c r="I25" s="12">
        <v>0</v>
      </c>
      <c r="J25" s="12">
        <v>0</v>
      </c>
      <c r="K25" s="12">
        <v>14</v>
      </c>
      <c r="L25" s="12">
        <v>15.67</v>
      </c>
      <c r="M25" s="12">
        <v>13.25</v>
      </c>
      <c r="N25" s="12">
        <v>1</v>
      </c>
      <c r="O25" s="12">
        <v>19.5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15</v>
      </c>
      <c r="W25" s="12">
        <v>9</v>
      </c>
      <c r="X25" s="12">
        <v>19.5</v>
      </c>
      <c r="Y25" s="12">
        <v>0</v>
      </c>
      <c r="Z25" s="12">
        <v>16</v>
      </c>
      <c r="AA25" s="12">
        <v>20</v>
      </c>
      <c r="AB25" s="12">
        <v>18.5</v>
      </c>
      <c r="AC25" s="13">
        <v>0</v>
      </c>
      <c r="AD25" s="13"/>
    </row>
    <row r="26" spans="1:30" ht="19.899999999999999" customHeight="1" x14ac:dyDescent="0.15">
      <c r="A26" s="14" t="s">
        <v>64</v>
      </c>
      <c r="B26" s="14"/>
      <c r="C26" s="14"/>
      <c r="D26" s="19" t="s">
        <v>65</v>
      </c>
      <c r="E26" s="15">
        <v>90</v>
      </c>
      <c r="F26" s="15">
        <v>84.5</v>
      </c>
      <c r="G26" s="15">
        <v>96</v>
      </c>
      <c r="H26" s="15">
        <v>91</v>
      </c>
      <c r="I26" s="16">
        <v>19.5</v>
      </c>
      <c r="J26" s="16">
        <v>19</v>
      </c>
      <c r="K26" s="16">
        <v>11.5</v>
      </c>
      <c r="L26" s="16">
        <v>18.5</v>
      </c>
      <c r="M26" s="16">
        <v>12</v>
      </c>
      <c r="N26" s="16">
        <v>19.75</v>
      </c>
      <c r="O26" s="16">
        <v>18</v>
      </c>
      <c r="P26" s="16">
        <v>11</v>
      </c>
      <c r="Q26" s="16">
        <v>19</v>
      </c>
      <c r="R26" s="16">
        <v>17.5</v>
      </c>
      <c r="S26" s="16">
        <v>17</v>
      </c>
      <c r="T26" s="16">
        <v>19</v>
      </c>
      <c r="U26" s="16">
        <v>15</v>
      </c>
      <c r="V26" s="16">
        <v>19.3</v>
      </c>
      <c r="W26" s="16">
        <v>19</v>
      </c>
      <c r="X26" s="16">
        <v>19.5</v>
      </c>
      <c r="Y26" s="16">
        <v>17</v>
      </c>
      <c r="Z26" s="16">
        <v>10</v>
      </c>
      <c r="AA26" s="16">
        <v>16</v>
      </c>
      <c r="AB26" s="16">
        <v>19</v>
      </c>
      <c r="AC26" s="17">
        <v>194</v>
      </c>
      <c r="AD26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Dashboard</vt:lpstr>
      <vt:lpstr>Grades</vt:lpstr>
      <vt:lpstr>Dashboard!Print_Area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Poaletti</dc:creator>
  <cp:lastModifiedBy>Poaletti, Kevin</cp:lastModifiedBy>
  <cp:lastPrinted>2022-01-22T19:44:53Z</cp:lastPrinted>
  <dcterms:created xsi:type="dcterms:W3CDTF">2021-09-16T13:34:01Z</dcterms:created>
  <dcterms:modified xsi:type="dcterms:W3CDTF">2026-04-16T02:50:24Z</dcterms:modified>
</cp:coreProperties>
</file>